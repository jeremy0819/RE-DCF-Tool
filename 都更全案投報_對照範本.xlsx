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坪效及獲利分析" sheetId="1" state="visible" r:id="rId1"/>
    <sheet xmlns:r="http://schemas.openxmlformats.org/officeDocument/2006/relationships" name="參數來源與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</font>
    <font>
      <b val="1"/>
      <color rgb="00FFFFFF"/>
    </font>
    <font/>
  </fonts>
  <fills count="6">
    <fill>
      <patternFill/>
    </fill>
    <fill>
      <patternFill patternType="gray125"/>
    </fill>
    <fill>
      <patternFill patternType="solid">
        <fgColor rgb="00538DD5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3" fontId="0" fillId="0" borderId="1" pivotButton="0" quotePrefix="0" xfId="0"/>
    <xf numFmtId="3" fontId="0" fillId="4" borderId="1" pivotButton="0" quotePrefix="0" xfId="0"/>
    <xf numFmtId="0" fontId="3" fillId="0" borderId="1" pivotButton="0" quotePrefix="0" xfId="0"/>
    <xf numFmtId="3" fontId="3" fillId="5" borderId="1" pivotButton="0" quotePrefix="0" xfId="0"/>
    <xf numFmtId="164" fontId="3" fillId="5" borderId="1" pivotButton="0" quotePrefix="0" xfId="0"/>
    <xf numFmtId="164" fontId="0" fillId="4" borderId="1" pivotButton="0" quotePrefix="0" xfId="0"/>
    <xf numFmtId="164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4" customWidth="1" min="3" max="3"/>
    <col width="14" customWidth="1" min="4" max="4"/>
    <col width="12" customWidth="1" min="5" max="5"/>
  </cols>
  <sheetData>
    <row r="1">
      <c r="A1" s="1" t="inlineStr">
        <is>
          <t>都更全案投報 — 坪效及獲利分析（對照範本）</t>
        </is>
      </c>
    </row>
    <row r="2">
      <c r="A2" s="2" t="inlineStr">
        <is>
          <t>黃底=輸入(只改這)｜白底=自動算｜D欄貼你舊Excel對應值｜E欄=差異(&gt;±2%留意)｜範例＝中正段</t>
        </is>
      </c>
    </row>
    <row r="3">
      <c r="D3" s="3" t="inlineStr">
        <is>
          <t>舊表值</t>
        </is>
      </c>
      <c r="E3" s="3" t="inlineStr">
        <is>
          <t>差異</t>
        </is>
      </c>
    </row>
    <row r="4">
      <c r="A4" s="4" t="inlineStr">
        <is>
          <t>① 輸入區（黃底，每次換案只改這裡）</t>
        </is>
      </c>
      <c r="B4" s="5" t="n"/>
      <c r="C4" s="5" t="n"/>
      <c r="D4" s="5" t="n"/>
      <c r="E4" s="5" t="n"/>
    </row>
    <row r="5">
      <c r="A5" s="6" t="inlineStr">
        <is>
          <t>基地面積</t>
        </is>
      </c>
      <c r="B5" s="7" t="n">
        <v>983</v>
      </c>
      <c r="C5" s="6" t="inlineStr">
        <is>
          <t>使照㎡（非謄本）</t>
        </is>
      </c>
      <c r="D5" s="6" t="n"/>
      <c r="E5" s="6" t="n"/>
    </row>
    <row r="6">
      <c r="A6" s="6" t="inlineStr">
        <is>
          <t>容積率</t>
        </is>
      </c>
      <c r="B6" s="7" t="n">
        <v>2.25</v>
      </c>
      <c r="C6" s="6" t="inlineStr">
        <is>
          <t>225%→2.25</t>
        </is>
      </c>
      <c r="D6" s="6" t="n"/>
      <c r="E6" s="6" t="n"/>
    </row>
    <row r="7">
      <c r="A7" s="6" t="inlineStr">
        <is>
          <t>獎勵率</t>
        </is>
      </c>
      <c r="B7" s="7" t="n">
        <v>0.88407</v>
      </c>
      <c r="C7" s="6" t="inlineStr">
        <is>
          <t>都更50%+防災；88.4%→0.884</t>
        </is>
      </c>
      <c r="D7" s="6" t="n"/>
      <c r="E7" s="6" t="n"/>
    </row>
    <row r="8">
      <c r="A8" s="6" t="inlineStr">
        <is>
          <t>容積移轉</t>
        </is>
      </c>
      <c r="B8" s="7" t="n">
        <v>0</v>
      </c>
      <c r="C8" s="6" t="inlineStr">
        <is>
          <t>㎡</t>
        </is>
      </c>
      <c r="D8" s="6" t="n"/>
      <c r="E8" s="6" t="n"/>
    </row>
    <row r="9">
      <c r="A9" s="6" t="inlineStr">
        <is>
          <t>公設比</t>
        </is>
      </c>
      <c r="B9" s="8" t="n">
        <v>0.33</v>
      </c>
      <c r="C9" s="6" t="inlineStr"/>
      <c r="D9" s="6" t="n"/>
      <c r="E9" s="6" t="n"/>
    </row>
    <row r="10">
      <c r="A10" s="6" t="inlineStr">
        <is>
          <t>外皮係數</t>
        </is>
      </c>
      <c r="B10" s="7" t="n">
        <v>1.01</v>
      </c>
      <c r="C10" s="6" t="inlineStr"/>
      <c r="D10" s="6" t="n"/>
      <c r="E10" s="6" t="n"/>
    </row>
    <row r="11">
      <c r="A11" s="6" t="inlineStr">
        <is>
          <t>銷售坪</t>
        </is>
      </c>
      <c r="B11" s="7" t="n">
        <v>2108.48</v>
      </c>
      <c r="C11" s="6" t="inlineStr">
        <is>
          <t>圖說面積表銷售坪</t>
        </is>
      </c>
      <c r="D11" s="6" t="n"/>
      <c r="E11" s="6" t="n"/>
    </row>
    <row r="12">
      <c r="A12" s="6" t="inlineStr">
        <is>
          <t>總營建坪</t>
        </is>
      </c>
      <c r="B12" s="7" t="n">
        <v>2550.44</v>
      </c>
      <c r="C12" s="6" t="inlineStr">
        <is>
          <t>圖說總樓地板坪</t>
        </is>
      </c>
      <c r="D12" s="6" t="n"/>
      <c r="E12" s="6" t="n"/>
    </row>
    <row r="13">
      <c r="A13" s="6" t="inlineStr">
        <is>
          <t>住宅單價</t>
        </is>
      </c>
      <c r="B13" s="7" t="n">
        <v>130</v>
      </c>
      <c r="C13" s="6" t="inlineStr">
        <is>
          <t>萬/坪</t>
        </is>
      </c>
      <c r="D13" s="6" t="n"/>
      <c r="E13" s="6" t="n"/>
    </row>
    <row r="14">
      <c r="A14" s="6" t="inlineStr">
        <is>
          <t>店舖坪數</t>
        </is>
      </c>
      <c r="B14" s="7" t="n">
        <v>66</v>
      </c>
      <c r="C14" s="6" t="inlineStr">
        <is>
          <t>坪</t>
        </is>
      </c>
      <c r="D14" s="6" t="n"/>
      <c r="E14" s="6" t="n"/>
    </row>
    <row r="15">
      <c r="A15" s="6" t="inlineStr">
        <is>
          <t>店舖單價</t>
        </is>
      </c>
      <c r="B15" s="7" t="n">
        <v>182</v>
      </c>
      <c r="C15" s="6" t="inlineStr">
        <is>
          <t>萬/坪</t>
        </is>
      </c>
      <c r="D15" s="6" t="n"/>
      <c r="E15" s="6" t="n"/>
    </row>
    <row r="16">
      <c r="A16" s="6" t="inlineStr">
        <is>
          <t>車位數</t>
        </is>
      </c>
      <c r="B16" s="7" t="n">
        <v>49</v>
      </c>
      <c r="C16" s="6" t="inlineStr">
        <is>
          <t>位</t>
        </is>
      </c>
      <c r="D16" s="6" t="n"/>
      <c r="E16" s="6" t="n"/>
    </row>
    <row r="17">
      <c r="A17" s="6" t="inlineStr">
        <is>
          <t>車位單價</t>
        </is>
      </c>
      <c r="B17" s="7" t="n">
        <v>250</v>
      </c>
      <c r="C17" s="6" t="inlineStr">
        <is>
          <t>萬/位</t>
        </is>
      </c>
      <c r="D17" s="6" t="n"/>
      <c r="E17" s="6" t="n"/>
    </row>
    <row r="18">
      <c r="A18" s="6" t="inlineStr">
        <is>
          <t>營造單價</t>
        </is>
      </c>
      <c r="B18" s="7" t="n">
        <v>24</v>
      </c>
      <c r="C18" s="6" t="inlineStr">
        <is>
          <t>萬/坪（含工程費A）</t>
        </is>
      </c>
      <c r="D18" s="6" t="n"/>
      <c r="E18" s="6" t="n"/>
    </row>
    <row r="19">
      <c r="A19" s="6" t="inlineStr">
        <is>
          <t>戶數</t>
        </is>
      </c>
      <c r="B19" s="7" t="n">
        <v>40</v>
      </c>
      <c r="C19" s="6" t="inlineStr">
        <is>
          <t>戶</t>
        </is>
      </c>
      <c r="D19" s="6" t="n"/>
      <c r="E19" s="6" t="n"/>
    </row>
    <row r="20">
      <c r="A20" s="6" t="inlineStr">
        <is>
          <t>全案管理費率</t>
        </is>
      </c>
      <c r="B20" s="8" t="n">
        <v>0.05</v>
      </c>
      <c r="C20" s="6" t="inlineStr">
        <is>
          <t>總銷×</t>
        </is>
      </c>
      <c r="D20" s="6" t="n"/>
      <c r="E20" s="6" t="n"/>
    </row>
    <row r="21">
      <c r="A21" s="6" t="inlineStr">
        <is>
          <t>設計監造率</t>
        </is>
      </c>
      <c r="B21" s="8" t="n">
        <v>0.05</v>
      </c>
      <c r="C21" s="6" t="inlineStr">
        <is>
          <t>營造×</t>
        </is>
      </c>
      <c r="D21" s="6" t="n"/>
      <c r="E21" s="6" t="n"/>
    </row>
    <row r="22">
      <c r="A22" s="6" t="inlineStr">
        <is>
          <t>工程管理率</t>
        </is>
      </c>
      <c r="B22" s="8" t="n">
        <v>0.03</v>
      </c>
      <c r="C22" s="6" t="inlineStr">
        <is>
          <t>營造×</t>
        </is>
      </c>
      <c r="D22" s="6" t="n"/>
      <c r="E22" s="6" t="n"/>
    </row>
    <row r="23">
      <c r="A23" s="6" t="inlineStr">
        <is>
          <t>管維率</t>
        </is>
      </c>
      <c r="B23" s="8" t="n">
        <v>0.01</v>
      </c>
      <c r="C23" s="6" t="inlineStr">
        <is>
          <t>工程×</t>
        </is>
      </c>
      <c r="D23" s="6" t="n"/>
      <c r="E23" s="6" t="n"/>
    </row>
    <row r="24">
      <c r="A24" s="6" t="inlineStr">
        <is>
          <t>權變作業率</t>
        </is>
      </c>
      <c r="B24" s="8" t="n">
        <v>0.015</v>
      </c>
      <c r="C24" s="6" t="inlineStr">
        <is>
          <t>房地銷×（估價/規劃/鑑定）</t>
        </is>
      </c>
      <c r="D24" s="6" t="n"/>
      <c r="E24" s="6" t="n"/>
    </row>
    <row r="25">
      <c r="A25" s="6" t="inlineStr">
        <is>
          <t>拆補每戶</t>
        </is>
      </c>
      <c r="B25" s="7" t="n">
        <v>90</v>
      </c>
      <c r="C25" s="6" t="inlineStr">
        <is>
          <t>萬/戶</t>
        </is>
      </c>
      <c r="D25" s="6" t="n"/>
      <c r="E25" s="6" t="n"/>
    </row>
    <row r="26">
      <c r="A26" s="6" t="inlineStr">
        <is>
          <t>月租金每戶</t>
        </is>
      </c>
      <c r="B26" s="7" t="n">
        <v>2</v>
      </c>
      <c r="C26" s="6" t="inlineStr">
        <is>
          <t>萬/戶·月</t>
        </is>
      </c>
      <c r="D26" s="6" t="n"/>
      <c r="E26" s="6" t="n"/>
    </row>
    <row r="27">
      <c r="A27" s="6" t="inlineStr">
        <is>
          <t>安置月數</t>
        </is>
      </c>
      <c r="B27" s="7" t="n">
        <v>42</v>
      </c>
      <c r="C27" s="6" t="inlineStr">
        <is>
          <t>月</t>
        </is>
      </c>
      <c r="D27" s="6" t="n"/>
      <c r="E27" s="6" t="n"/>
    </row>
    <row r="28">
      <c r="A28" s="6" t="inlineStr">
        <is>
          <t>營業稅率</t>
        </is>
      </c>
      <c r="B28" s="8" t="n">
        <v>0.05</v>
      </c>
      <c r="C28" s="6" t="inlineStr">
        <is>
          <t>房地銷×</t>
        </is>
      </c>
      <c r="D28" s="6" t="n"/>
      <c r="E28" s="6" t="n"/>
    </row>
    <row r="29">
      <c r="A29" s="6" t="inlineStr">
        <is>
          <t>印花稅率</t>
        </is>
      </c>
      <c r="B29" s="8" t="n">
        <v>0.001</v>
      </c>
      <c r="C29" s="6" t="inlineStr">
        <is>
          <t>總銷×</t>
        </is>
      </c>
      <c r="D29" s="6" t="n"/>
      <c r="E29" s="6" t="n"/>
    </row>
    <row r="30">
      <c r="A30" s="6" t="inlineStr">
        <is>
          <t>建融成數</t>
        </is>
      </c>
      <c r="B30" s="8" t="n">
        <v>0.7</v>
      </c>
      <c r="C30" s="6" t="inlineStr"/>
      <c r="D30" s="6" t="n"/>
      <c r="E30" s="6" t="n"/>
    </row>
    <row r="31">
      <c r="A31" s="6" t="inlineStr">
        <is>
          <t>建融利率</t>
        </is>
      </c>
      <c r="B31" s="8" t="n">
        <v>0.0325</v>
      </c>
      <c r="C31" s="6" t="inlineStr"/>
      <c r="D31" s="6" t="n"/>
      <c r="E31" s="6" t="n"/>
    </row>
    <row r="32">
      <c r="A32" s="6" t="inlineStr">
        <is>
          <t>建融年期</t>
        </is>
      </c>
      <c r="B32" s="7" t="n">
        <v>3</v>
      </c>
      <c r="C32" s="6" t="inlineStr">
        <is>
          <t>年</t>
        </is>
      </c>
      <c r="D32" s="6" t="n"/>
      <c r="E32" s="6" t="n"/>
    </row>
    <row r="33">
      <c r="A33" s="6" t="inlineStr">
        <is>
          <t>現金流係數</t>
        </is>
      </c>
      <c r="B33" s="7" t="n">
        <v>0.5</v>
      </c>
      <c r="C33" s="6" t="inlineStr"/>
      <c r="D33" s="6" t="n"/>
      <c r="E33" s="6" t="n"/>
    </row>
    <row r="34">
      <c r="A34" s="4" t="inlineStr">
        <is>
          <t>② 坪效（容積帳；對照建築師面積表）</t>
        </is>
      </c>
      <c r="B34" s="5" t="n"/>
      <c r="C34" s="5" t="n"/>
      <c r="D34" s="5" t="n"/>
      <c r="E34" s="5" t="n"/>
    </row>
    <row r="35">
      <c r="A35" s="6" t="inlineStr">
        <is>
          <t>基準容積FA</t>
        </is>
      </c>
      <c r="B35" s="9">
        <f>B5*B6</f>
        <v/>
      </c>
      <c r="C35" s="6" t="inlineStr">
        <is>
          <t>基地×容積率</t>
        </is>
      </c>
      <c r="D35" s="10" t="n"/>
      <c r="E35" s="9">
        <f>IF(N(D35)=0,"",B35-D35)</f>
        <v/>
      </c>
    </row>
    <row r="36">
      <c r="A36" s="11" t="inlineStr">
        <is>
          <t>允建容積</t>
        </is>
      </c>
      <c r="B36" s="12">
        <f>B35*(1+B7)+B8</f>
        <v/>
      </c>
      <c r="C36" s="6" t="inlineStr">
        <is>
          <t>FA×(1+獎勵)+容移</t>
        </is>
      </c>
      <c r="D36" s="10" t="n"/>
      <c r="E36" s="9">
        <f>IF(N(D36)=0,"",B36-D36)</f>
        <v/>
      </c>
    </row>
    <row r="37">
      <c r="A37" s="6" t="inlineStr">
        <is>
          <t>允建容積坪</t>
        </is>
      </c>
      <c r="B37" s="9">
        <f>B36/3.3058</f>
        <v/>
      </c>
      <c r="C37" s="6" t="inlineStr">
        <is>
          <t>坪</t>
        </is>
      </c>
      <c r="D37" s="10" t="n"/>
      <c r="E37" s="9">
        <f>IF(N(D37)=0,"",B37-D37)</f>
        <v/>
      </c>
    </row>
    <row r="38">
      <c r="A38" s="4" t="inlineStr">
        <is>
          <t>③ 總銷分析</t>
        </is>
      </c>
      <c r="B38" s="5" t="n"/>
      <c r="C38" s="5" t="n"/>
      <c r="D38" s="5" t="n"/>
      <c r="E38" s="5" t="n"/>
    </row>
    <row r="39">
      <c r="A39" s="6" t="inlineStr">
        <is>
          <t>住宅坪數</t>
        </is>
      </c>
      <c r="B39" s="9">
        <f>B11-B14</f>
        <v/>
      </c>
      <c r="C39" s="6" t="inlineStr">
        <is>
          <t>銷售坪−店舖坪</t>
        </is>
      </c>
      <c r="D39" s="6" t="n"/>
      <c r="E39" s="6" t="n"/>
    </row>
    <row r="40">
      <c r="A40" s="6" t="inlineStr">
        <is>
          <t>住宅銷售</t>
        </is>
      </c>
      <c r="B40" s="9">
        <f>B39*B13</f>
        <v/>
      </c>
      <c r="C40" s="6" t="inlineStr">
        <is>
          <t>萬</t>
        </is>
      </c>
      <c r="D40" s="10" t="n"/>
      <c r="E40" s="9">
        <f>IF(N(D40)=0,"",B40-D40)</f>
        <v/>
      </c>
    </row>
    <row r="41">
      <c r="A41" s="6" t="inlineStr">
        <is>
          <t>店舖銷售</t>
        </is>
      </c>
      <c r="B41" s="9">
        <f>B14*B15</f>
        <v/>
      </c>
      <c r="C41" s="6" t="inlineStr">
        <is>
          <t>萬</t>
        </is>
      </c>
      <c r="D41" s="6" t="n"/>
      <c r="E41" s="6" t="n"/>
    </row>
    <row r="42">
      <c r="A42" s="6" t="inlineStr">
        <is>
          <t>房地總銷</t>
        </is>
      </c>
      <c r="B42" s="9">
        <f>B40+B41</f>
        <v/>
      </c>
      <c r="C42" s="6" t="inlineStr">
        <is>
          <t>萬</t>
        </is>
      </c>
      <c r="D42" s="6" t="n"/>
      <c r="E42" s="6" t="n"/>
    </row>
    <row r="43">
      <c r="A43" s="6" t="inlineStr">
        <is>
          <t>車位銷售</t>
        </is>
      </c>
      <c r="B43" s="9">
        <f>B16*B17</f>
        <v/>
      </c>
      <c r="C43" s="6" t="inlineStr">
        <is>
          <t>萬</t>
        </is>
      </c>
      <c r="D43" s="6" t="n"/>
      <c r="E43" s="6" t="n"/>
    </row>
    <row r="44">
      <c r="A44" s="11" t="inlineStr">
        <is>
          <t>總銷</t>
        </is>
      </c>
      <c r="B44" s="12">
        <f>B42+B43</f>
        <v/>
      </c>
      <c r="C44" s="6" t="inlineStr">
        <is>
          <t>萬</t>
        </is>
      </c>
      <c r="D44" s="10" t="n"/>
      <c r="E44" s="9">
        <f>IF(N(D44)=0,"",B44-D44)</f>
        <v/>
      </c>
    </row>
    <row r="45">
      <c r="A45" s="4" t="inlineStr">
        <is>
          <t>④ 共同負擔六大科目（權利變換實施辦法）</t>
        </is>
      </c>
      <c r="B45" s="5" t="n"/>
      <c r="C45" s="5" t="n"/>
      <c r="D45" s="5" t="n"/>
      <c r="E45" s="5" t="n"/>
    </row>
    <row r="46">
      <c r="A46" s="6" t="inlineStr">
        <is>
          <t>營造成本</t>
        </is>
      </c>
      <c r="B46" s="9">
        <f>B18*B12</f>
        <v/>
      </c>
      <c r="C46" s="6" t="inlineStr">
        <is>
          <t>營造單價×總營建坪</t>
        </is>
      </c>
      <c r="D46" s="6" t="n"/>
      <c r="E46" s="6" t="n"/>
    </row>
    <row r="47">
      <c r="A47" s="6" t="inlineStr">
        <is>
          <t>A 工程費用</t>
        </is>
      </c>
      <c r="B47" s="9">
        <f>B46*(1+B21+B22)</f>
        <v/>
      </c>
      <c r="C47" s="6" t="inlineStr">
        <is>
          <t>營造+設計+工管</t>
        </is>
      </c>
      <c r="D47" s="10" t="n"/>
      <c r="E47" s="9">
        <f>IF(N(D47)=0,"",B47-D47)</f>
        <v/>
      </c>
    </row>
    <row r="48">
      <c r="A48" s="6" t="inlineStr">
        <is>
          <t>B 管維費用</t>
        </is>
      </c>
      <c r="B48" s="9">
        <f>B47*B23</f>
        <v/>
      </c>
      <c r="C48" s="6" t="inlineStr">
        <is>
          <t>容獎後續管維</t>
        </is>
      </c>
      <c r="D48" s="6" t="n"/>
      <c r="E48" s="6" t="n"/>
    </row>
    <row r="49">
      <c r="A49" s="6" t="inlineStr">
        <is>
          <t>C 權變費用</t>
        </is>
      </c>
      <c r="B49" s="9">
        <f>B42*B24+B19*B25+B19*B26*B27</f>
        <v/>
      </c>
      <c r="C49" s="6" t="inlineStr">
        <is>
          <t>權變作業+拆補+租補</t>
        </is>
      </c>
      <c r="D49" s="10" t="n"/>
      <c r="E49" s="9">
        <f>IF(N(D49)=0,"",B49-D49)</f>
        <v/>
      </c>
    </row>
    <row r="50">
      <c r="A50" s="6" t="inlineStr">
        <is>
          <t>D 貸款利息</t>
        </is>
      </c>
      <c r="B50" s="9">
        <f>B47*B30*B31*B32*B33</f>
        <v/>
      </c>
      <c r="C50" s="6" t="inlineStr">
        <is>
          <t>建融利息</t>
        </is>
      </c>
      <c r="D50" s="6" t="n"/>
      <c r="E50" s="6" t="n"/>
    </row>
    <row r="51">
      <c r="A51" s="6" t="inlineStr">
        <is>
          <t>E 稅捐</t>
        </is>
      </c>
      <c r="B51" s="9">
        <f>B42*B28+B44*B29</f>
        <v/>
      </c>
      <c r="C51" s="6" t="inlineStr">
        <is>
          <t>營業稅+印花稅</t>
        </is>
      </c>
      <c r="D51" s="6" t="n"/>
      <c r="E51" s="6" t="n"/>
    </row>
    <row r="52">
      <c r="A52" s="6" t="inlineStr">
        <is>
          <t>F 管理費用</t>
        </is>
      </c>
      <c r="B52" s="9">
        <f>B44*B20</f>
        <v/>
      </c>
      <c r="C52" s="6" t="inlineStr">
        <is>
          <t>全案管理服務費</t>
        </is>
      </c>
      <c r="D52" s="10" t="n"/>
      <c r="E52" s="9">
        <f>IF(N(D52)=0,"",B52-D52)</f>
        <v/>
      </c>
    </row>
    <row r="53">
      <c r="A53" s="11" t="inlineStr">
        <is>
          <t>共同負擔</t>
        </is>
      </c>
      <c r="B53" s="12">
        <f>B47+B48+B49+B50+B51+B52</f>
        <v/>
      </c>
      <c r="C53" s="6" t="inlineStr">
        <is>
          <t>A+B+C+D+E+F</t>
        </is>
      </c>
      <c r="D53" s="10" t="n"/>
      <c r="E53" s="9">
        <f>IF(N(D53)=0,"",B53-D53)</f>
        <v/>
      </c>
    </row>
    <row r="54">
      <c r="A54" s="4" t="inlineStr">
        <is>
          <t>⑤ 投報（分回 / 報酬率）</t>
        </is>
      </c>
      <c r="B54" s="5" t="n"/>
      <c r="C54" s="5" t="n"/>
      <c r="D54" s="5" t="n"/>
      <c r="E54" s="5" t="n"/>
    </row>
    <row r="55">
      <c r="A55" s="11" t="inlineStr">
        <is>
          <t>共負比</t>
        </is>
      </c>
      <c r="B55" s="13">
        <f>B53/B44</f>
        <v/>
      </c>
      <c r="C55" s="6" t="inlineStr">
        <is>
          <t>共負÷總銷</t>
        </is>
      </c>
      <c r="D55" s="14" t="n"/>
      <c r="E55" s="15">
        <f>IF(N(D55)=0,"",B55-D55)</f>
        <v/>
      </c>
    </row>
    <row r="56">
      <c r="A56" s="11" t="inlineStr">
        <is>
          <t>地主分回價值</t>
        </is>
      </c>
      <c r="B56" s="12">
        <f>B44-B53</f>
        <v/>
      </c>
      <c r="C56" s="6" t="inlineStr">
        <is>
          <t>總銷−共負</t>
        </is>
      </c>
      <c r="D56" s="10" t="n"/>
      <c r="E56" s="9">
        <f>IF(N(D56)=0,"",B56-D56)</f>
        <v/>
      </c>
    </row>
    <row r="57">
      <c r="A57" s="11" t="inlineStr">
        <is>
          <t>地主分回比</t>
        </is>
      </c>
      <c r="B57" s="13">
        <f>B56/B44</f>
        <v/>
      </c>
      <c r="C57" s="6" t="inlineStr"/>
      <c r="D57" s="14" t="n"/>
      <c r="E57" s="15">
        <f>IF(N(D57)=0,"",B57-D57)</f>
        <v/>
      </c>
    </row>
    <row r="58">
      <c r="A58" s="11" t="inlineStr">
        <is>
          <t>報酬率</t>
        </is>
      </c>
      <c r="B58" s="13">
        <f>B56/B53</f>
        <v/>
      </c>
      <c r="C58" s="6" t="inlineStr">
        <is>
          <t>利潤÷總成本</t>
        </is>
      </c>
      <c r="D58" s="14" t="n"/>
      <c r="E58" s="15">
        <f>IF(N(D58)=0,"",B58-D58)</f>
        <v/>
      </c>
    </row>
    <row r="59">
      <c r="A59" s="6" t="inlineStr">
        <is>
          <t>每戶分回(示意)</t>
        </is>
      </c>
      <c r="B59" s="9">
        <f>B56/B19</f>
        <v/>
      </c>
      <c r="C59" s="6" t="inlineStr">
        <is>
          <t>萬/戶（依權值估價）</t>
        </is>
      </c>
      <c r="D59" s="6" t="n"/>
      <c r="E59" s="6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3" t="inlineStr">
        <is>
          <t>項目</t>
        </is>
      </c>
      <c r="B1" t="inlineStr">
        <is>
          <t>來源 / 說明</t>
        </is>
      </c>
    </row>
    <row r="2">
      <c r="A2" s="16" t="inlineStr">
        <is>
          <t>共同負擔六科目</t>
        </is>
      </c>
      <c r="B2" t="inlineStr">
        <is>
          <t>都市更新權利變換實施辦法（費用負擔：工程/權變/利息/稅捐/管理/其他）</t>
        </is>
      </c>
    </row>
    <row r="3">
      <c r="A3" s="16" t="inlineStr">
        <is>
          <t>都更容積獎勵上限</t>
        </is>
      </c>
      <c r="B3" t="inlineStr">
        <is>
          <t>都市更新條例 §65：基準容積 1.5 倍（+50%）</t>
        </is>
      </c>
    </row>
    <row r="4">
      <c r="A4" s="16" t="inlineStr">
        <is>
          <t>台北市防災型都更</t>
        </is>
      </c>
      <c r="B4" t="inlineStr">
        <is>
          <t>都更獎勵之上再加最高 30%（ID值&lt;0.35、基地≥1000㎡）</t>
        </is>
      </c>
    </row>
    <row r="5">
      <c r="A5" s="16" t="inlineStr">
        <is>
          <t>營造單價/設計費/稅</t>
        </is>
      </c>
      <c r="B5" t="inlineStr">
        <is>
          <t>安和段估價師送審試算：營造22萬·設計監造5%·營業稅5%·印花0.1%</t>
        </is>
      </c>
    </row>
    <row r="6">
      <c r="A6" s="16" t="inlineStr">
        <is>
          <t>住宅單價(中正段)</t>
        </is>
      </c>
      <c r="B6" t="inlineStr">
        <is>
          <t>中正紀念堂周邊新案 120–162萬/坪，4M巷取保守 130萬（2026-06查證）</t>
        </is>
      </c>
    </row>
    <row r="7">
      <c r="A7" s="16" t="inlineStr">
        <is>
          <t>公式對齊</t>
        </is>
      </c>
      <c r="B7" t="inlineStr">
        <is>
          <t>本表公式與 app.py 之 calc_投報全案 一致；數字應相同。</t>
        </is>
      </c>
    </row>
    <row r="8">
      <c r="A8" s="16" t="inlineStr">
        <is>
          <t>用法</t>
        </is>
      </c>
      <c r="B8" t="inlineStr">
        <is>
          <t>黃底改成你的案；D欄貼舊Excel對應值，E欄自動顯示差異。</t>
        </is>
      </c>
    </row>
    <row r="9">
      <c r="A9" s="16" t="inlineStr">
        <is>
          <t>免責</t>
        </is>
      </c>
      <c r="B9" t="inlineStr">
        <is>
          <t>前期評估參考，非正式財務/法律意見；以估價師核定與最新法令為準。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2026-06-05T01:38:22Z</dcterms:created>
  <dcterms:modified xmlns:dcterms="http://purl.org/dc/terms/" xmlns:xsi="http://www.w3.org/2001/XMLSchema-instance" xsi:type="dcterms:W3CDTF">2026-06-05T01:38:22Z</dcterms:modified>
</cp:coreProperties>
</file>